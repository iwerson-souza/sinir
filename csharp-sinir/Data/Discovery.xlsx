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erson\Documents\VSCode\sinir\csharp-sinir\Data\"/>
    </mc:Choice>
  </mc:AlternateContent>
  <xr:revisionPtr revIDLastSave="0" documentId="13_ncr:1_{9DB01F11-E16A-4F05-89D1-1577E18B6566}" xr6:coauthVersionLast="47" xr6:coauthVersionMax="47" xr10:uidLastSave="{00000000-0000-0000-0000-000000000000}"/>
  <bookViews>
    <workbookView xWindow="-120" yWindow="-120" windowWidth="38640" windowHeight="21120" xr2:uid="{6E9B6034-8E2F-49B2-96D9-47D050AB9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<sst xmlns="http://schemas.openxmlformats.org/spreadsheetml/2006/main" count="189" uniqueCount="100">
  <si>
    <t>unidade</t>
  </si>
  <si>
    <t>cpfCnpj</t>
  </si>
  <si>
    <t>nome</t>
  </si>
  <si>
    <t>url1</t>
  </si>
  <si>
    <t>url2</t>
  </si>
  <si>
    <t>url3</t>
  </si>
  <si>
    <t>data1</t>
  </si>
  <si>
    <t>data2</t>
  </si>
  <si>
    <t>01-04-2026</t>
  </si>
  <si>
    <t>30-04-2026</t>
  </si>
  <si>
    <t>10417944000112</t>
  </si>
  <si>
    <t>NOSSA FRUTA BRASIL INDUSTRIA DE ALIMENTOS LTDA</t>
  </si>
  <si>
    <t>68093095001060</t>
  </si>
  <si>
    <t>FROOTY COMERCIO E INDUSTRIA DE ALIMENTOS S.A.</t>
  </si>
  <si>
    <t>10772915000179</t>
  </si>
  <si>
    <t>SITIO PARAISO VERDE FRUTICULTURA LTDA</t>
  </si>
  <si>
    <t>29072059000177</t>
  </si>
  <si>
    <t>AGRITECH SEMIARIDO AGRICULTURA LTDA</t>
  </si>
  <si>
    <t>17180557000154</t>
  </si>
  <si>
    <t>CRISTIANO JOAO BATISTA IDALINA - TERRAPLENAGEM - EPP</t>
  </si>
  <si>
    <t>04920094000178</t>
  </si>
  <si>
    <t>SOLOPAR EMPREENDIMENTO IMOBILIARIO</t>
  </si>
  <si>
    <t>43100389000150</t>
  </si>
  <si>
    <t>JORGE LUIS ALVES SILVA 42871986894</t>
  </si>
  <si>
    <t>18791234000240</t>
  </si>
  <si>
    <t>Proenergy Eletrificações LTDA</t>
  </si>
  <si>
    <t>09566792000130</t>
  </si>
  <si>
    <t>LM MINING COMPANY EIRELI</t>
  </si>
  <si>
    <t>63310411003208</t>
  </si>
  <si>
    <t>TRÊS CORAÇÕES ALIMENTOS S/A</t>
  </si>
  <si>
    <t>json</t>
  </si>
  <si>
    <t>FOCAL TEXTIL FABRICAÇÃO DE TECIDOS ESPEC</t>
  </si>
  <si>
    <t>FORNALLE RESTAURANTE E PIZZARIA LTDA</t>
  </si>
  <si>
    <t>ALAIR JULIÃO DA SILVA</t>
  </si>
  <si>
    <t>ANTONIO SEBASTIAO GOMES ALVES LTDA</t>
  </si>
  <si>
    <t>NABLA CONSTRUÇÕES LTDA</t>
  </si>
  <si>
    <t>Gilvan Moreira de Castro</t>
  </si>
  <si>
    <t>CRBS S/A - CDD LAPA</t>
  </si>
  <si>
    <t>terraplena serviços de terraplenagem ltda</t>
  </si>
  <si>
    <t>TESTE DA PRISCILA</t>
  </si>
  <si>
    <t>Industria 4.0 SA</t>
  </si>
  <si>
    <t>Recicladora 123 SA Inc</t>
  </si>
  <si>
    <t>LRG Indústria e Comércio Ltda</t>
  </si>
  <si>
    <t>COOPERATIVA TRABALHO PARA RECICLAGEM E PRESTAÇÃO DE SERVIÇO</t>
  </si>
  <si>
    <t>katia patricia rodrigues machado</t>
  </si>
  <si>
    <t>matheus</t>
  </si>
  <si>
    <t>TESTE PRISCILA DESTINADOR</t>
  </si>
  <si>
    <t>CWBAGGIO INCORPORAÇÕES IMOBILIÁRIAS LTDA</t>
  </si>
  <si>
    <t>aurum recuperatum ltda</t>
  </si>
  <si>
    <t>LEUSADO DERIVADOS DE PETRÓLEO LTDA</t>
  </si>
  <si>
    <t>Heinig Comércio de Agregados e Transportes Ltda</t>
  </si>
  <si>
    <t>EUROMAD INDUSTRIA E COMERCIO DE MADEIRAS E CONSTRUCOES LTDA</t>
  </si>
  <si>
    <t>JFC Produtos Agrícolas LTDA</t>
  </si>
  <si>
    <t>NEW COAL PRODUÇÃO DE CARVÃO VEGETAL LDTA</t>
  </si>
  <si>
    <t>QUIRAVELLI IND. E COM. DE PRODUTOS QUIMICOS LTDA EPP</t>
  </si>
  <si>
    <t>QUIRAVELLI IND. E COM. DE PRODUTOS QUIMICOS LTDA</t>
  </si>
  <si>
    <t>COQUEIRAL AMBIENTAL INDUSTRIA E COMERCIO</t>
  </si>
  <si>
    <t>65549 - NAVIO DE PESQUISA HIDROCEANOGRÁFICO VITAL DE OLIVEIRA</t>
  </si>
  <si>
    <t>NOVA ERA IND COM EXPORTAÇÃO DE MADEIRAS LTDA</t>
  </si>
  <si>
    <t>CRETA INDUSTRIA E COMERCIO LTDA</t>
  </si>
  <si>
    <t>APEX BRASIL INDUSTRIA E COMERCIO LTDA</t>
  </si>
  <si>
    <t>KOPER AMBIENTAL GESTAO DE RESIDUOS LTDA</t>
  </si>
  <si>
    <t>R.P DOS SANTOS RECICLAGEM</t>
  </si>
  <si>
    <t>MUNICIPIO DE PENALVA</t>
  </si>
  <si>
    <t>44.521.195 FERNANDO ALVES GOMES</t>
  </si>
  <si>
    <t>10620811000149</t>
  </si>
  <si>
    <t>12793407000100</t>
  </si>
  <si>
    <t>04261046172</t>
  </si>
  <si>
    <t>33089625000120</t>
  </si>
  <si>
    <t>06866305000167</t>
  </si>
  <si>
    <t>14317972000119</t>
  </si>
  <si>
    <t>56228356004129</t>
  </si>
  <si>
    <t>47064867000174</t>
  </si>
  <si>
    <t>56760046000163</t>
  </si>
  <si>
    <t>87934497000101</t>
  </si>
  <si>
    <t>65715297000117</t>
  </si>
  <si>
    <t>35637803000136</t>
  </si>
  <si>
    <t>37218557000103</t>
  </si>
  <si>
    <t>42621655000127</t>
  </si>
  <si>
    <t>02065713135</t>
  </si>
  <si>
    <t>64695860000170</t>
  </si>
  <si>
    <t>12096070000174</t>
  </si>
  <si>
    <t>63929109000128</t>
  </si>
  <si>
    <t>34352542000145</t>
  </si>
  <si>
    <t>82122177000125</t>
  </si>
  <si>
    <t>24792348000127</t>
  </si>
  <si>
    <t>24792348000208</t>
  </si>
  <si>
    <t>38028199000139</t>
  </si>
  <si>
    <t>22357989000128</t>
  </si>
  <si>
    <t>59568774000166</t>
  </si>
  <si>
    <t>59568774000328</t>
  </si>
  <si>
    <t>33940359000106</t>
  </si>
  <si>
    <t>00394502051725</t>
  </si>
  <si>
    <t>08242838000101</t>
  </si>
  <si>
    <t>55388960000162</t>
  </si>
  <si>
    <t>55387508000186</t>
  </si>
  <si>
    <t>32184634000138</t>
  </si>
  <si>
    <t>36202242000105</t>
  </si>
  <si>
    <t>06179402000181</t>
  </si>
  <si>
    <t>44521195000190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</si>
</sst>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/>
    <xf numFmtId="0" fontId="2" fillId="2" borderId="0" xfId="1" applyFill="1"/>
    <xf numFmtId="0" fontId="0" fillId="0" borderId="0" xfId="0" quotePrefix="1"/>
    <xf numFmtId="0" fontId="0" fillId="3" borderId="0" xfId="0" applyFill="1" applyAlignment="1">
      <alignment vertical="center" wrapText="1"/>
    </xf>
    <xf numFmtId="49" fontId="0" fillId="3" borderId="0" xfId="0" applyNumberFormat="1" applyFill="1"/>
    <xf numFmtId="0" fontId="0" fillId="3" borderId="0" xfId="0" quotePrefix="1" applyFill="1"/>
    <xf numFmtId="0" fontId="0" fillId="3" borderId="0" xfId="0" applyFill="1"/>
  </cellXfs>
  <cellStyles count="2">
    <cellStyle name="Normal" xfId="0" builtinId="0"/>
    <cellStyle name="Normal 2" xfId="1" xr:uid="{41F0A8F7-1802-4A46-8FC9-D510D2EB7C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28B9-D444-4B50-8701-43A7360D4979}">
  <dimension ref="A1:I46"/>
  <sheetViews>
    <sheetView tabSelected="1" zoomScale="85" zoomScaleNormal="85" workbookViewId="0">
      <selection activeCell="I12" sqref="I12:I46"/>
    </sheetView>
  </sheetViews>
  <sheetFormatPr defaultRowHeight="15" x14ac:dyDescent="0.25"/>
  <cols>
    <col min="2" max="2" width="15.42578125" customWidth="1"/>
    <col min="3" max="3" width="49.85546875" bestFit="1" customWidth="1"/>
    <col min="4" max="5" width="10.42578125" bestFit="1" customWidth="1"/>
    <col min="6" max="8" width="2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  <c r="I1" t="s">
        <v>30</v>
      </c>
    </row>
    <row r="2" spans="1:9" x14ac:dyDescent="0.25">
      <c r="A2" s="1">
        <v>161052</v>
      </c>
      <c r="B2" s="2" t="s">
        <v>10</v>
      </c>
      <c r="C2" s="2" t="s">
        <v>11</v>
      </c>
      <c r="D2" s="4" t="s">
        <v>8</v>
      </c>
      <c r="E2" s="4" t="s">
        <v>9</v>
      </c>
      <c r="F2" t="str">
        <f>_xlfn.CONCAT("https://mtr.sinir.gov.br/api/mtr/pesquisaManifestoRelatorioMtrAnalitico", "/",A2,"/18/8/",D2,"/",E2,"/5/0/9/0")</f>
        <v>https://mtr.sinir.gov.br/api/mtr/pesquisaManifestoRelatorioMtrAnalitico/161052/18/8/01-04-2026/30-04-2026/5/0/9/0</v>
      </c>
      <c r="G2" t="str">
        <f>_xlfn.CONCAT("https://mtr.sinir.gov.br/api/mtr/pesquisaManifestoRelatorioMtrAnalitico", "/",A2,"/18/5/",D2,"/",E2,"/8/0/9/0")</f>
        <v>https://mtr.sinir.gov.br/api/mtr/pesquisaManifestoRelatorioMtrAnalitico/161052/18/5/01-04-2026/30-04-2026/8/0/9/0</v>
      </c>
      <c r="H2" t="str">
        <f>_xlfn.CONCAT("https://mtr.sinir.gov.br/api/mtr/pesquisaManifestoRelatorioMtrAnalitico", "/",A2,"/18/9/",D2,"/",E2,"/8/0/5/0")</f>
        <v>https://mtr.sinir.gov.br/api/mtr/pesquisaManifestoRelatorioMtrAnalitico/161052/18/9/01-04-2026/30-04-2026/8/0/5/0</v>
      </c>
      <c r="I2" t="str">
        <f>_xlfn.CONCAT("{
""unidade"": """,A2,""",
 ""audit"": {
  ""createdBy"": ""system"",
  ""createdDt"": ""2026-08-10T23:58:23.649Z""
 },
 ""cpfCnpj"": """,B2,""",
 ""nome"": """,C2,"""
}")</f>
        <v>{
"unidade": "161052",
 "audit": {
  "createdBy": "system",
  "createdDt": "2026-08-10T23:58:23.649Z"
 },
 "cpfCnpj": "10417944000112",
 "nome": "NOSSA FRUTA BRASIL INDUSTRIA DE ALIMENTOS LTDA"
}</v>
      </c>
    </row>
    <row r="3" spans="1:9" x14ac:dyDescent="0.25">
      <c r="A3" s="1">
        <v>184472</v>
      </c>
      <c r="B3" s="3" t="s">
        <v>12</v>
      </c>
      <c r="C3" s="3" t="s">
        <v>13</v>
      </c>
      <c r="D3" s="4" t="s">
        <v>8</v>
      </c>
      <c r="E3" s="4" t="s">
        <v>9</v>
      </c>
      <c r="F3" t="str">
        <f t="shared" ref="F3:F11" si="0">_xlfn.CONCAT("https://mtr.sinir.gov.br/api/mtr/pesquisaManifestoRelatorioMtrAnalitico", "/",A3,"/18/8/",D3,"/",E3,"/5/0/9/0")</f>
        <v>https://mtr.sinir.gov.br/api/mtr/pesquisaManifestoRelatorioMtrAnalitico/184472/18/8/01-04-2026/30-04-2026/5/0/9/0</v>
      </c>
      <c r="G3" t="str">
        <f t="shared" ref="G3:G11" si="1">_xlfn.CONCAT("https://mtr.sinir.gov.br/api/mtr/pesquisaManifestoRelatorioMtrAnalitico", "/",A3,"/18/5/",D3,"/",E3,"/8/0/9/0")</f>
        <v>https://mtr.sinir.gov.br/api/mtr/pesquisaManifestoRelatorioMtrAnalitico/184472/18/5/01-04-2026/30-04-2026/8/0/9/0</v>
      </c>
      <c r="H3" t="str">
        <f t="shared" ref="H3:H11" si="2">_xlfn.CONCAT("https://mtr.sinir.gov.br/api/mtr/pesquisaManifestoRelatorioMtrAnalitico", "/",A3,"/18/9/",D3,"/",E3,"/8/0/5/0")</f>
        <v>https://mtr.sinir.gov.br/api/mtr/pesquisaManifestoRelatorioMtrAnalitico/184472/18/9/01-04-2026/30-04-2026/8/0/5/0</v>
      </c>
      <c r="I3" t="str">
        <f t="shared" ref="I3:I11" si="3">_xlfn.CONCAT("{
""unidade"": """,A3,""",
 ""audit"": {
  ""createdBy"": ""system"",
  ""createdDt"": ""2026-08-10T23:58:23.649Z""
 },
 ""cpfCnpj"": """,B3,""",
 ""nome"": """,C3,"""
}")</f>
        <v>{
"unidade": "184472",
 "audit": {
  "createdBy": "system",
  "createdDt": "2026-08-10T23:58:23.649Z"
 },
 "cpfCnpj": "68093095001060",
 "nome": "FROOTY COMERCIO E INDUSTRIA DE ALIMENTOS S.A."
}</v>
      </c>
    </row>
    <row r="4" spans="1:9" x14ac:dyDescent="0.25">
      <c r="A4" s="1">
        <v>231826</v>
      </c>
      <c r="B4" s="3" t="s">
        <v>14</v>
      </c>
      <c r="C4" s="3" t="s">
        <v>15</v>
      </c>
      <c r="D4" s="4" t="s">
        <v>8</v>
      </c>
      <c r="E4" s="4" t="s">
        <v>9</v>
      </c>
      <c r="F4" t="str">
        <f t="shared" si="0"/>
        <v>https://mtr.sinir.gov.br/api/mtr/pesquisaManifestoRelatorioMtrAnalitico/231826/18/8/01-04-2026/30-04-2026/5/0/9/0</v>
      </c>
      <c r="G4" t="str">
        <f t="shared" si="1"/>
        <v>https://mtr.sinir.gov.br/api/mtr/pesquisaManifestoRelatorioMtrAnalitico/231826/18/5/01-04-2026/30-04-2026/8/0/9/0</v>
      </c>
      <c r="H4" t="str">
        <f t="shared" si="2"/>
        <v>https://mtr.sinir.gov.br/api/mtr/pesquisaManifestoRelatorioMtrAnalitico/231826/18/9/01-04-2026/30-04-2026/8/0/5/0</v>
      </c>
      <c r="I4" t="str">
        <f t="shared" si="3"/>
        <v>{
"unidade": "231826",
 "audit": {
  "createdBy": "system",
  "createdDt": "2026-08-10T23:58:23.649Z"
 },
 "cpfCnpj": "10772915000179",
 "nome": "SITIO PARAISO VERDE FRUTICULTURA LTDA"
}</v>
      </c>
    </row>
    <row r="5" spans="1:9" x14ac:dyDescent="0.25">
      <c r="A5" s="1">
        <v>232770</v>
      </c>
      <c r="B5" s="2" t="s">
        <v>16</v>
      </c>
      <c r="C5" s="2" t="s">
        <v>17</v>
      </c>
      <c r="D5" s="4" t="s">
        <v>8</v>
      </c>
      <c r="E5" s="4" t="s">
        <v>9</v>
      </c>
      <c r="F5" t="str">
        <f t="shared" si="0"/>
        <v>https://mtr.sinir.gov.br/api/mtr/pesquisaManifestoRelatorioMtrAnalitico/232770/18/8/01-04-2026/30-04-2026/5/0/9/0</v>
      </c>
      <c r="G5" t="str">
        <f t="shared" si="1"/>
        <v>https://mtr.sinir.gov.br/api/mtr/pesquisaManifestoRelatorioMtrAnalitico/232770/18/5/01-04-2026/30-04-2026/8/0/9/0</v>
      </c>
      <c r="H5" t="str">
        <f t="shared" si="2"/>
        <v>https://mtr.sinir.gov.br/api/mtr/pesquisaManifestoRelatorioMtrAnalitico/232770/18/9/01-04-2026/30-04-2026/8/0/5/0</v>
      </c>
      <c r="I5" t="str">
        <f t="shared" si="3"/>
        <v>{
"unidade": "232770",
 "audit": {
  "createdBy": "system",
  "createdDt": "2026-08-10T23:58:23.649Z"
 },
 "cpfCnpj": "29072059000177",
 "nome": "AGRITECH SEMIARIDO AGRICULTURA LTDA"
}</v>
      </c>
    </row>
    <row r="6" spans="1:9" x14ac:dyDescent="0.25">
      <c r="A6" s="1">
        <v>290058</v>
      </c>
      <c r="B6" s="2" t="s">
        <v>18</v>
      </c>
      <c r="C6" s="2" t="s">
        <v>19</v>
      </c>
      <c r="D6" s="4" t="s">
        <v>8</v>
      </c>
      <c r="E6" s="4" t="s">
        <v>9</v>
      </c>
      <c r="F6" t="str">
        <f t="shared" si="0"/>
        <v>https://mtr.sinir.gov.br/api/mtr/pesquisaManifestoRelatorioMtrAnalitico/290058/18/8/01-04-2026/30-04-2026/5/0/9/0</v>
      </c>
      <c r="G6" t="str">
        <f t="shared" si="1"/>
        <v>https://mtr.sinir.gov.br/api/mtr/pesquisaManifestoRelatorioMtrAnalitico/290058/18/5/01-04-2026/30-04-2026/8/0/9/0</v>
      </c>
      <c r="H6" t="str">
        <f t="shared" si="2"/>
        <v>https://mtr.sinir.gov.br/api/mtr/pesquisaManifestoRelatorioMtrAnalitico/290058/18/9/01-04-2026/30-04-2026/8/0/5/0</v>
      </c>
      <c r="I6" t="str">
        <f t="shared" si="3"/>
        <v>{
"unidade": "290058",
 "audit": {
  "createdBy": "system",
  "createdDt": "2026-08-10T23:58:23.649Z"
 },
 "cpfCnpj": "17180557000154",
 "nome": "CRISTIANO JOAO BATISTA IDALINA - TERRAPLENAGEM - EPP"
}</v>
      </c>
    </row>
    <row r="7" spans="1:9" x14ac:dyDescent="0.25">
      <c r="A7" s="1">
        <v>290381</v>
      </c>
      <c r="B7" s="2" t="s">
        <v>20</v>
      </c>
      <c r="C7" s="2" t="s">
        <v>21</v>
      </c>
      <c r="D7" s="4" t="s">
        <v>8</v>
      </c>
      <c r="E7" s="4" t="s">
        <v>9</v>
      </c>
      <c r="F7" t="str">
        <f t="shared" si="0"/>
        <v>https://mtr.sinir.gov.br/api/mtr/pesquisaManifestoRelatorioMtrAnalitico/290381/18/8/01-04-2026/30-04-2026/5/0/9/0</v>
      </c>
      <c r="G7" t="str">
        <f t="shared" si="1"/>
        <v>https://mtr.sinir.gov.br/api/mtr/pesquisaManifestoRelatorioMtrAnalitico/290381/18/5/01-04-2026/30-04-2026/8/0/9/0</v>
      </c>
      <c r="H7" t="str">
        <f t="shared" si="2"/>
        <v>https://mtr.sinir.gov.br/api/mtr/pesquisaManifestoRelatorioMtrAnalitico/290381/18/9/01-04-2026/30-04-2026/8/0/5/0</v>
      </c>
      <c r="I7" t="str">
        <f t="shared" si="3"/>
        <v>{
"unidade": "290381",
 "audit": {
  "createdBy": "system",
  "createdDt": "2026-08-10T23:58:23.649Z"
 },
 "cpfCnpj": "04920094000178",
 "nome": "SOLOPAR EMPREENDIMENTO IMOBILIARIO"
}</v>
      </c>
    </row>
    <row r="8" spans="1:9" x14ac:dyDescent="0.25">
      <c r="A8" s="1">
        <v>324430</v>
      </c>
      <c r="B8" s="2" t="s">
        <v>22</v>
      </c>
      <c r="C8" s="2" t="s">
        <v>23</v>
      </c>
      <c r="D8" s="4" t="s">
        <v>8</v>
      </c>
      <c r="E8" s="4" t="s">
        <v>9</v>
      </c>
      <c r="F8" t="str">
        <f t="shared" si="0"/>
        <v>https://mtr.sinir.gov.br/api/mtr/pesquisaManifestoRelatorioMtrAnalitico/324430/18/8/01-04-2026/30-04-2026/5/0/9/0</v>
      </c>
      <c r="G8" t="str">
        <f t="shared" si="1"/>
        <v>https://mtr.sinir.gov.br/api/mtr/pesquisaManifestoRelatorioMtrAnalitico/324430/18/5/01-04-2026/30-04-2026/8/0/9/0</v>
      </c>
      <c r="H8" t="str">
        <f t="shared" si="2"/>
        <v>https://mtr.sinir.gov.br/api/mtr/pesquisaManifestoRelatorioMtrAnalitico/324430/18/9/01-04-2026/30-04-2026/8/0/5/0</v>
      </c>
      <c r="I8" t="str">
        <f t="shared" si="3"/>
        <v>{
"unidade": "324430",
 "audit": {
  "createdBy": "system",
  "createdDt": "2026-08-10T23:58:23.649Z"
 },
 "cpfCnpj": "43100389000150",
 "nome": "JORGE LUIS ALVES SILVA 42871986894"
}</v>
      </c>
    </row>
    <row r="9" spans="1:9" x14ac:dyDescent="0.25">
      <c r="A9" s="1">
        <v>324572</v>
      </c>
      <c r="B9" s="2" t="s">
        <v>24</v>
      </c>
      <c r="C9" s="2" t="s">
        <v>25</v>
      </c>
      <c r="D9" s="4" t="s">
        <v>8</v>
      </c>
      <c r="E9" s="4" t="s">
        <v>9</v>
      </c>
      <c r="F9" t="str">
        <f t="shared" si="0"/>
        <v>https://mtr.sinir.gov.br/api/mtr/pesquisaManifestoRelatorioMtrAnalitico/324572/18/8/01-04-2026/30-04-2026/5/0/9/0</v>
      </c>
      <c r="G9" t="str">
        <f t="shared" si="1"/>
        <v>https://mtr.sinir.gov.br/api/mtr/pesquisaManifestoRelatorioMtrAnalitico/324572/18/5/01-04-2026/30-04-2026/8/0/9/0</v>
      </c>
      <c r="H9" t="str">
        <f t="shared" si="2"/>
        <v>https://mtr.sinir.gov.br/api/mtr/pesquisaManifestoRelatorioMtrAnalitico/324572/18/9/01-04-2026/30-04-2026/8/0/5/0</v>
      </c>
      <c r="I9" t="str">
        <f t="shared" si="3"/>
        <v>{
"unidade": "324572",
 "audit": {
  "createdBy": "system",
  "createdDt": "2026-08-10T23:58:23.649Z"
 },
 "cpfCnpj": "18791234000240",
 "nome": "Proenergy Eletrificações LTDA"
}</v>
      </c>
    </row>
    <row r="10" spans="1:9" x14ac:dyDescent="0.25">
      <c r="A10" s="1">
        <v>42878</v>
      </c>
      <c r="B10" s="2" t="s">
        <v>26</v>
      </c>
      <c r="C10" s="2" t="s">
        <v>27</v>
      </c>
      <c r="D10" s="4" t="s">
        <v>8</v>
      </c>
      <c r="E10" s="4" t="s">
        <v>9</v>
      </c>
      <c r="F10" t="str">
        <f t="shared" si="0"/>
        <v>https://mtr.sinir.gov.br/api/mtr/pesquisaManifestoRelatorioMtrAnalitico/42878/18/8/01-04-2026/30-04-2026/5/0/9/0</v>
      </c>
      <c r="G10" t="str">
        <f t="shared" si="1"/>
        <v>https://mtr.sinir.gov.br/api/mtr/pesquisaManifestoRelatorioMtrAnalitico/42878/18/5/01-04-2026/30-04-2026/8/0/9/0</v>
      </c>
      <c r="H10" t="str">
        <f t="shared" si="2"/>
        <v>https://mtr.sinir.gov.br/api/mtr/pesquisaManifestoRelatorioMtrAnalitico/42878/18/9/01-04-2026/30-04-2026/8/0/5/0</v>
      </c>
      <c r="I10" t="str">
        <f t="shared" si="3"/>
        <v>{
"unidade": "42878",
 "audit": {
  "createdBy": "system",
  "createdDt": "2026-08-10T23:58:23.649Z"
 },
 "cpfCnpj": "09566792000130",
 "nome": "LM MINING COMPANY EIRELI"
}</v>
      </c>
    </row>
    <row r="11" spans="1:9" x14ac:dyDescent="0.25">
      <c r="A11" s="1">
        <v>44870</v>
      </c>
      <c r="B11" s="2" t="s">
        <v>28</v>
      </c>
      <c r="C11" s="2" t="s">
        <v>29</v>
      </c>
      <c r="D11" s="4" t="s">
        <v>8</v>
      </c>
      <c r="E11" s="4" t="s">
        <v>9</v>
      </c>
      <c r="F11" t="str">
        <f t="shared" si="0"/>
        <v>https://mtr.sinir.gov.br/api/mtr/pesquisaManifestoRelatorioMtrAnalitico/44870/18/8/01-04-2026/30-04-2026/5/0/9/0</v>
      </c>
      <c r="G11" t="str">
        <f t="shared" si="1"/>
        <v>https://mtr.sinir.gov.br/api/mtr/pesquisaManifestoRelatorioMtrAnalitico/44870/18/5/01-04-2026/30-04-2026/8/0/9/0</v>
      </c>
      <c r="H11" t="str">
        <f t="shared" si="2"/>
        <v>https://mtr.sinir.gov.br/api/mtr/pesquisaManifestoRelatorioMtrAnalitico/44870/18/9/01-04-2026/30-04-2026/8/0/5/0</v>
      </c>
      <c r="I11" t="str">
        <f t="shared" si="3"/>
        <v>{
"unidade": "44870",
 "audit": {
  "createdBy": "system",
  "createdDt": "2026-08-10T23:58:23.649Z"
 },
 "cpfCnpj": "63310411003208",
 "nome": "TRÊS CORAÇÕES ALIMENTOS S/A"
}</v>
      </c>
    </row>
    <row r="12" spans="1:9" s="8" customFormat="1" x14ac:dyDescent="0.25">
      <c r="A12" s="5">
        <v>447152</v>
      </c>
      <c r="B12" s="6" t="s">
        <v>65</v>
      </c>
      <c r="C12" s="5" t="s">
        <v>31</v>
      </c>
      <c r="D12" s="7" t="s">
        <v>8</v>
      </c>
      <c r="E12" s="7" t="s">
        <v>9</v>
      </c>
      <c r="F12" s="8" t="str">
        <f t="shared" ref="F12:F46" si="4">_xlfn.CONCAT("https://mtr.sinir.gov.br/api/mtr/pesquisaManifestoRelatorioMtrAnalitico", "/",A12,"/18/8/",D12,"/",E12,"/5/0/9/0")</f>
        <v>https://mtr.sinir.gov.br/api/mtr/pesquisaManifestoRelatorioMtrAnalitico/447152/18/8/01-04-2026/30-04-2026/5/0/9/0</v>
      </c>
      <c r="G12" s="8" t="str">
        <f t="shared" ref="G12:G46" si="5">_xlfn.CONCAT("https://mtr.sinir.gov.br/api/mtr/pesquisaManifestoRelatorioMtrAnalitico", "/",A12,"/18/5/",D12,"/",E12,"/8/0/9/0")</f>
        <v>https://mtr.sinir.gov.br/api/mtr/pesquisaManifestoRelatorioMtrAnalitico/447152/18/5/01-04-2026/30-04-2026/8/0/9/0</v>
      </c>
      <c r="H12" s="8" t="str">
        <f t="shared" ref="H12:H46" si="6">_xlfn.CONCAT("https://mtr.sinir.gov.br/api/mtr/pesquisaManifestoRelatorioMtrAnalitico", "/",A12,"/18/9/",D12,"/",E12,"/8/0/5/0")</f>
        <v>https://mtr.sinir.gov.br/api/mtr/pesquisaManifestoRelatorioMtrAnalitico/447152/18/9/01-04-2026/30-04-2026/8/0/5/0</v>
      </c>
      <c r="I12" s="8" t="str">
        <f t="shared" ref="I12:I46" si="7">_xlfn.CONCAT("{
""unidade"": """,A12,""",
 ""audit"": {
  ""createdBy"": ""system"",
  ""createdDt"": ""2026-08-10T23:58:23.649Z""
 },
 ""cpfCnpj"": """,B12,""",
 ""nome"": """,C12,"""
}")</f>
        <v>{
"unidade": "447152",
 "audit": {
  "createdBy": "system",
  "createdDt": "2026-08-10T23:58:23.649Z"
 },
 "cpfCnpj": "10620811000149",
 "nome": "FOCAL TEXTIL FABRICAÇÃO DE TECIDOS ESPEC"
}</v>
      </c>
    </row>
    <row r="13" spans="1:9" s="8" customFormat="1" x14ac:dyDescent="0.25">
      <c r="A13" s="5">
        <v>448732</v>
      </c>
      <c r="B13" s="6" t="s">
        <v>66</v>
      </c>
      <c r="C13" s="5" t="s">
        <v>32</v>
      </c>
      <c r="D13" s="7" t="s">
        <v>8</v>
      </c>
      <c r="E13" s="7" t="s">
        <v>9</v>
      </c>
      <c r="F13" s="8" t="str">
        <f t="shared" si="4"/>
        <v>https://mtr.sinir.gov.br/api/mtr/pesquisaManifestoRelatorioMtrAnalitico/448732/18/8/01-04-2026/30-04-2026/5/0/9/0</v>
      </c>
      <c r="G13" s="8" t="str">
        <f t="shared" si="5"/>
        <v>https://mtr.sinir.gov.br/api/mtr/pesquisaManifestoRelatorioMtrAnalitico/448732/18/5/01-04-2026/30-04-2026/8/0/9/0</v>
      </c>
      <c r="H13" s="8" t="str">
        <f t="shared" si="6"/>
        <v>https://mtr.sinir.gov.br/api/mtr/pesquisaManifestoRelatorioMtrAnalitico/448732/18/9/01-04-2026/30-04-2026/8/0/5/0</v>
      </c>
      <c r="I13" s="8" t="str">
        <f t="shared" si="7"/>
        <v>{
"unidade": "448732",
 "audit": {
  "createdBy": "system",
  "createdDt": "2026-08-10T23:58:23.649Z"
 },
 "cpfCnpj": "12793407000100",
 "nome": "FORNALLE RESTAURANTE E PIZZARIA LTDA"
}</v>
      </c>
    </row>
    <row r="14" spans="1:9" s="8" customFormat="1" x14ac:dyDescent="0.25">
      <c r="A14" s="5">
        <v>448884</v>
      </c>
      <c r="B14" s="6" t="s">
        <v>67</v>
      </c>
      <c r="C14" s="5" t="s">
        <v>33</v>
      </c>
      <c r="D14" s="7" t="s">
        <v>8</v>
      </c>
      <c r="E14" s="7" t="s">
        <v>9</v>
      </c>
      <c r="F14" s="8" t="str">
        <f t="shared" si="4"/>
        <v>https://mtr.sinir.gov.br/api/mtr/pesquisaManifestoRelatorioMtrAnalitico/448884/18/8/01-04-2026/30-04-2026/5/0/9/0</v>
      </c>
      <c r="G14" s="8" t="str">
        <f t="shared" si="5"/>
        <v>https://mtr.sinir.gov.br/api/mtr/pesquisaManifestoRelatorioMtrAnalitico/448884/18/5/01-04-2026/30-04-2026/8/0/9/0</v>
      </c>
      <c r="H14" s="8" t="str">
        <f t="shared" si="6"/>
        <v>https://mtr.sinir.gov.br/api/mtr/pesquisaManifestoRelatorioMtrAnalitico/448884/18/9/01-04-2026/30-04-2026/8/0/5/0</v>
      </c>
      <c r="I14" s="8" t="str">
        <f t="shared" si="7"/>
        <v>{
"unidade": "448884",
 "audit": {
  "createdBy": "system",
  "createdDt": "2026-08-10T23:58:23.649Z"
 },
 "cpfCnpj": "04261046172",
 "nome": "ALAIR JULIÃO DA SILVA"
}</v>
      </c>
    </row>
    <row r="15" spans="1:9" s="8" customFormat="1" x14ac:dyDescent="0.25">
      <c r="A15" s="5">
        <v>464997</v>
      </c>
      <c r="B15" s="6" t="s">
        <v>68</v>
      </c>
      <c r="C15" s="5" t="s">
        <v>34</v>
      </c>
      <c r="D15" s="7" t="s">
        <v>8</v>
      </c>
      <c r="E15" s="7" t="s">
        <v>9</v>
      </c>
      <c r="F15" s="8" t="str">
        <f t="shared" si="4"/>
        <v>https://mtr.sinir.gov.br/api/mtr/pesquisaManifestoRelatorioMtrAnalitico/464997/18/8/01-04-2026/30-04-2026/5/0/9/0</v>
      </c>
      <c r="G15" s="8" t="str">
        <f t="shared" si="5"/>
        <v>https://mtr.sinir.gov.br/api/mtr/pesquisaManifestoRelatorioMtrAnalitico/464997/18/5/01-04-2026/30-04-2026/8/0/9/0</v>
      </c>
      <c r="H15" s="8" t="str">
        <f t="shared" si="6"/>
        <v>https://mtr.sinir.gov.br/api/mtr/pesquisaManifestoRelatorioMtrAnalitico/464997/18/9/01-04-2026/30-04-2026/8/0/5/0</v>
      </c>
      <c r="I15" s="8" t="str">
        <f t="shared" si="7"/>
        <v>{
"unidade": "464997",
 "audit": {
  "createdBy": "system",
  "createdDt": "2026-08-10T23:58:23.649Z"
 },
 "cpfCnpj": "33089625000120",
 "nome": "ANTONIO SEBASTIAO GOMES ALVES LTDA"
}</v>
      </c>
    </row>
    <row r="16" spans="1:9" s="8" customFormat="1" x14ac:dyDescent="0.25">
      <c r="A16" s="5">
        <v>483692</v>
      </c>
      <c r="B16" s="6" t="s">
        <v>69</v>
      </c>
      <c r="C16" s="5" t="s">
        <v>35</v>
      </c>
      <c r="D16" s="7" t="s">
        <v>8</v>
      </c>
      <c r="E16" s="7" t="s">
        <v>9</v>
      </c>
      <c r="F16" s="8" t="str">
        <f t="shared" si="4"/>
        <v>https://mtr.sinir.gov.br/api/mtr/pesquisaManifestoRelatorioMtrAnalitico/483692/18/8/01-04-2026/30-04-2026/5/0/9/0</v>
      </c>
      <c r="G16" s="8" t="str">
        <f t="shared" si="5"/>
        <v>https://mtr.sinir.gov.br/api/mtr/pesquisaManifestoRelatorioMtrAnalitico/483692/18/5/01-04-2026/30-04-2026/8/0/9/0</v>
      </c>
      <c r="H16" s="8" t="str">
        <f t="shared" si="6"/>
        <v>https://mtr.sinir.gov.br/api/mtr/pesquisaManifestoRelatorioMtrAnalitico/483692/18/9/01-04-2026/30-04-2026/8/0/5/0</v>
      </c>
      <c r="I16" s="8" t="str">
        <f t="shared" si="7"/>
        <v>{
"unidade": "483692",
 "audit": {
  "createdBy": "system",
  "createdDt": "2026-08-10T23:58:23.649Z"
 },
 "cpfCnpj": "06866305000167",
 "nome": "NABLA CONSTRUÇÕES LTDA"
}</v>
      </c>
    </row>
    <row r="17" spans="1:9" s="8" customFormat="1" x14ac:dyDescent="0.25">
      <c r="A17" s="5">
        <v>529276</v>
      </c>
      <c r="B17" s="6" t="s">
        <v>70</v>
      </c>
      <c r="C17" s="5" t="s">
        <v>36</v>
      </c>
      <c r="D17" s="7" t="s">
        <v>8</v>
      </c>
      <c r="E17" s="7" t="s">
        <v>9</v>
      </c>
      <c r="F17" s="8" t="str">
        <f t="shared" si="4"/>
        <v>https://mtr.sinir.gov.br/api/mtr/pesquisaManifestoRelatorioMtrAnalitico/529276/18/8/01-04-2026/30-04-2026/5/0/9/0</v>
      </c>
      <c r="G17" s="8" t="str">
        <f t="shared" si="5"/>
        <v>https://mtr.sinir.gov.br/api/mtr/pesquisaManifestoRelatorioMtrAnalitico/529276/18/5/01-04-2026/30-04-2026/8/0/9/0</v>
      </c>
      <c r="H17" s="8" t="str">
        <f t="shared" si="6"/>
        <v>https://mtr.sinir.gov.br/api/mtr/pesquisaManifestoRelatorioMtrAnalitico/529276/18/9/01-04-2026/30-04-2026/8/0/5/0</v>
      </c>
      <c r="I17" s="8" t="str">
        <f t="shared" si="7"/>
        <v>{
"unidade": "529276",
 "audit": {
  "createdBy": "system",
  "createdDt": "2026-08-10T23:58:23.649Z"
 },
 "cpfCnpj": "14317972000119",
 "nome": "Gilvan Moreira de Castro"
}</v>
      </c>
    </row>
    <row r="18" spans="1:9" s="8" customFormat="1" x14ac:dyDescent="0.25">
      <c r="A18" s="5">
        <v>531872</v>
      </c>
      <c r="B18" s="6" t="s">
        <v>71</v>
      </c>
      <c r="C18" s="5" t="s">
        <v>37</v>
      </c>
      <c r="D18" s="7" t="s">
        <v>8</v>
      </c>
      <c r="E18" s="7" t="s">
        <v>9</v>
      </c>
      <c r="F18" s="8" t="str">
        <f t="shared" si="4"/>
        <v>https://mtr.sinir.gov.br/api/mtr/pesquisaManifestoRelatorioMtrAnalitico/531872/18/8/01-04-2026/30-04-2026/5/0/9/0</v>
      </c>
      <c r="G18" s="8" t="str">
        <f t="shared" si="5"/>
        <v>https://mtr.sinir.gov.br/api/mtr/pesquisaManifestoRelatorioMtrAnalitico/531872/18/5/01-04-2026/30-04-2026/8/0/9/0</v>
      </c>
      <c r="H18" s="8" t="str">
        <f t="shared" si="6"/>
        <v>https://mtr.sinir.gov.br/api/mtr/pesquisaManifestoRelatorioMtrAnalitico/531872/18/9/01-04-2026/30-04-2026/8/0/5/0</v>
      </c>
      <c r="I18" s="8" t="str">
        <f t="shared" si="7"/>
        <v>{
"unidade": "531872",
 "audit": {
  "createdBy": "system",
  "createdDt": "2026-08-10T23:58:23.649Z"
 },
 "cpfCnpj": "56228356004129",
 "nome": "CRBS S/A - CDD LAPA"
}</v>
      </c>
    </row>
    <row r="19" spans="1:9" s="8" customFormat="1" x14ac:dyDescent="0.25">
      <c r="A19" s="5">
        <v>564428</v>
      </c>
      <c r="B19" s="6" t="s">
        <v>72</v>
      </c>
      <c r="C19" s="5" t="s">
        <v>38</v>
      </c>
      <c r="D19" s="7" t="s">
        <v>8</v>
      </c>
      <c r="E19" s="7" t="s">
        <v>9</v>
      </c>
      <c r="F19" s="8" t="str">
        <f t="shared" si="4"/>
        <v>https://mtr.sinir.gov.br/api/mtr/pesquisaManifestoRelatorioMtrAnalitico/564428/18/8/01-04-2026/30-04-2026/5/0/9/0</v>
      </c>
      <c r="G19" s="8" t="str">
        <f t="shared" si="5"/>
        <v>https://mtr.sinir.gov.br/api/mtr/pesquisaManifestoRelatorioMtrAnalitico/564428/18/5/01-04-2026/30-04-2026/8/0/9/0</v>
      </c>
      <c r="H19" s="8" t="str">
        <f t="shared" si="6"/>
        <v>https://mtr.sinir.gov.br/api/mtr/pesquisaManifestoRelatorioMtrAnalitico/564428/18/9/01-04-2026/30-04-2026/8/0/5/0</v>
      </c>
      <c r="I19" s="8" t="str">
        <f t="shared" si="7"/>
        <v>{
"unidade": "564428",
 "audit": {
  "createdBy": "system",
  "createdDt": "2026-08-10T23:58:23.649Z"
 },
 "cpfCnpj": "47064867000174",
 "nome": "terraplena serviços de terraplenagem ltda"
}</v>
      </c>
    </row>
    <row r="20" spans="1:9" s="8" customFormat="1" x14ac:dyDescent="0.25">
      <c r="A20" s="5">
        <v>566994</v>
      </c>
      <c r="B20" s="6" t="s">
        <v>73</v>
      </c>
      <c r="C20" s="5" t="s">
        <v>39</v>
      </c>
      <c r="D20" s="7" t="s">
        <v>8</v>
      </c>
      <c r="E20" s="7" t="s">
        <v>9</v>
      </c>
      <c r="F20" s="8" t="str">
        <f t="shared" si="4"/>
        <v>https://mtr.sinir.gov.br/api/mtr/pesquisaManifestoRelatorioMtrAnalitico/566994/18/8/01-04-2026/30-04-2026/5/0/9/0</v>
      </c>
      <c r="G20" s="8" t="str">
        <f t="shared" si="5"/>
        <v>https://mtr.sinir.gov.br/api/mtr/pesquisaManifestoRelatorioMtrAnalitico/566994/18/5/01-04-2026/30-04-2026/8/0/9/0</v>
      </c>
      <c r="H20" s="8" t="str">
        <f t="shared" si="6"/>
        <v>https://mtr.sinir.gov.br/api/mtr/pesquisaManifestoRelatorioMtrAnalitico/566994/18/9/01-04-2026/30-04-2026/8/0/5/0</v>
      </c>
      <c r="I20" s="8" t="str">
        <f t="shared" si="7"/>
        <v>{
"unidade": "566994",
 "audit": {
  "createdBy": "system",
  "createdDt": "2026-08-10T23:58:23.649Z"
 },
 "cpfCnpj": "56760046000163",
 "nome": "TESTE DA PRISCILA"
}</v>
      </c>
    </row>
    <row r="21" spans="1:9" s="8" customFormat="1" x14ac:dyDescent="0.25">
      <c r="A21" s="5">
        <v>572455</v>
      </c>
      <c r="B21" s="6" t="s">
        <v>74</v>
      </c>
      <c r="C21" s="5" t="s">
        <v>40</v>
      </c>
      <c r="D21" s="7" t="s">
        <v>8</v>
      </c>
      <c r="E21" s="7" t="s">
        <v>9</v>
      </c>
      <c r="F21" s="8" t="str">
        <f t="shared" si="4"/>
        <v>https://mtr.sinir.gov.br/api/mtr/pesquisaManifestoRelatorioMtrAnalitico/572455/18/8/01-04-2026/30-04-2026/5/0/9/0</v>
      </c>
      <c r="G21" s="8" t="str">
        <f t="shared" si="5"/>
        <v>https://mtr.sinir.gov.br/api/mtr/pesquisaManifestoRelatorioMtrAnalitico/572455/18/5/01-04-2026/30-04-2026/8/0/9/0</v>
      </c>
      <c r="H21" s="8" t="str">
        <f t="shared" si="6"/>
        <v>https://mtr.sinir.gov.br/api/mtr/pesquisaManifestoRelatorioMtrAnalitico/572455/18/9/01-04-2026/30-04-2026/8/0/5/0</v>
      </c>
      <c r="I21" s="8" t="str">
        <f t="shared" si="7"/>
        <v>{
"unidade": "572455",
 "audit": {
  "createdBy": "system",
  "createdDt": "2026-08-10T23:58:23.649Z"
 },
 "cpfCnpj": "87934497000101",
 "nome": "Industria 4.0 SA"
}</v>
      </c>
    </row>
    <row r="22" spans="1:9" s="8" customFormat="1" x14ac:dyDescent="0.25">
      <c r="A22" s="5">
        <v>572456</v>
      </c>
      <c r="B22" s="6" t="s">
        <v>75</v>
      </c>
      <c r="C22" s="5" t="s">
        <v>41</v>
      </c>
      <c r="D22" s="7" t="s">
        <v>8</v>
      </c>
      <c r="E22" s="7" t="s">
        <v>9</v>
      </c>
      <c r="F22" s="8" t="str">
        <f t="shared" si="4"/>
        <v>https://mtr.sinir.gov.br/api/mtr/pesquisaManifestoRelatorioMtrAnalitico/572456/18/8/01-04-2026/30-04-2026/5/0/9/0</v>
      </c>
      <c r="G22" s="8" t="str">
        <f t="shared" si="5"/>
        <v>https://mtr.sinir.gov.br/api/mtr/pesquisaManifestoRelatorioMtrAnalitico/572456/18/5/01-04-2026/30-04-2026/8/0/9/0</v>
      </c>
      <c r="H22" s="8" t="str">
        <f t="shared" si="6"/>
        <v>https://mtr.sinir.gov.br/api/mtr/pesquisaManifestoRelatorioMtrAnalitico/572456/18/9/01-04-2026/30-04-2026/8/0/5/0</v>
      </c>
      <c r="I22" s="8" t="str">
        <f t="shared" si="7"/>
        <v>{
"unidade": "572456",
 "audit": {
  "createdBy": "system",
  "createdDt": "2026-08-10T23:58:23.649Z"
 },
 "cpfCnpj": "65715297000117",
 "nome": "Recicladora 123 SA Inc"
}</v>
      </c>
    </row>
    <row r="23" spans="1:9" s="8" customFormat="1" x14ac:dyDescent="0.25">
      <c r="A23" s="5">
        <v>573071</v>
      </c>
      <c r="B23" s="6" t="s">
        <v>76</v>
      </c>
      <c r="C23" s="5" t="s">
        <v>42</v>
      </c>
      <c r="D23" s="7" t="s">
        <v>8</v>
      </c>
      <c r="E23" s="7" t="s">
        <v>9</v>
      </c>
      <c r="F23" s="8" t="str">
        <f t="shared" si="4"/>
        <v>https://mtr.sinir.gov.br/api/mtr/pesquisaManifestoRelatorioMtrAnalitico/573071/18/8/01-04-2026/30-04-2026/5/0/9/0</v>
      </c>
      <c r="G23" s="8" t="str">
        <f t="shared" si="5"/>
        <v>https://mtr.sinir.gov.br/api/mtr/pesquisaManifestoRelatorioMtrAnalitico/573071/18/5/01-04-2026/30-04-2026/8/0/9/0</v>
      </c>
      <c r="H23" s="8" t="str">
        <f t="shared" si="6"/>
        <v>https://mtr.sinir.gov.br/api/mtr/pesquisaManifestoRelatorioMtrAnalitico/573071/18/9/01-04-2026/30-04-2026/8/0/5/0</v>
      </c>
      <c r="I23" s="8" t="str">
        <f t="shared" si="7"/>
        <v>{
"unidade": "573071",
 "audit": {
  "createdBy": "system",
  "createdDt": "2026-08-10T23:58:23.649Z"
 },
 "cpfCnpj": "35637803000136",
 "nome": "LRG Indústria e Comércio Ltda"
}</v>
      </c>
    </row>
    <row r="24" spans="1:9" s="8" customFormat="1" ht="30" x14ac:dyDescent="0.25">
      <c r="A24" s="5">
        <v>573136</v>
      </c>
      <c r="B24" s="6" t="s">
        <v>77</v>
      </c>
      <c r="C24" s="5" t="s">
        <v>43</v>
      </c>
      <c r="D24" s="7" t="s">
        <v>8</v>
      </c>
      <c r="E24" s="7" t="s">
        <v>9</v>
      </c>
      <c r="F24" s="8" t="str">
        <f t="shared" si="4"/>
        <v>https://mtr.sinir.gov.br/api/mtr/pesquisaManifestoRelatorioMtrAnalitico/573136/18/8/01-04-2026/30-04-2026/5/0/9/0</v>
      </c>
      <c r="G24" s="8" t="str">
        <f t="shared" si="5"/>
        <v>https://mtr.sinir.gov.br/api/mtr/pesquisaManifestoRelatorioMtrAnalitico/573136/18/5/01-04-2026/30-04-2026/8/0/9/0</v>
      </c>
      <c r="H24" s="8" t="str">
        <f t="shared" si="6"/>
        <v>https://mtr.sinir.gov.br/api/mtr/pesquisaManifestoRelatorioMtrAnalitico/573136/18/9/01-04-2026/30-04-2026/8/0/5/0</v>
      </c>
      <c r="I24" s="8" t="str">
        <f t="shared" si="7"/>
        <v>{
"unidade": "573136",
 "audit": {
  "createdBy": "system",
  "createdDt": "2026-08-10T23:58:23.649Z"
 },
 "cpfCnpj": "37218557000103",
 "nome": "COOPERATIVA TRABALHO PARA RECICLAGEM E PRESTAÇÃO DE SERVIÇO"
}</v>
      </c>
    </row>
    <row r="25" spans="1:9" s="8" customFormat="1" x14ac:dyDescent="0.25">
      <c r="A25" s="5">
        <v>577345</v>
      </c>
      <c r="B25" s="6" t="s">
        <v>78</v>
      </c>
      <c r="C25" s="5" t="s">
        <v>44</v>
      </c>
      <c r="D25" s="7" t="s">
        <v>8</v>
      </c>
      <c r="E25" s="7" t="s">
        <v>9</v>
      </c>
      <c r="F25" s="8" t="str">
        <f t="shared" si="4"/>
        <v>https://mtr.sinir.gov.br/api/mtr/pesquisaManifestoRelatorioMtrAnalitico/577345/18/8/01-04-2026/30-04-2026/5/0/9/0</v>
      </c>
      <c r="G25" s="8" t="str">
        <f t="shared" si="5"/>
        <v>https://mtr.sinir.gov.br/api/mtr/pesquisaManifestoRelatorioMtrAnalitico/577345/18/5/01-04-2026/30-04-2026/8/0/9/0</v>
      </c>
      <c r="H25" s="8" t="str">
        <f t="shared" si="6"/>
        <v>https://mtr.sinir.gov.br/api/mtr/pesquisaManifestoRelatorioMtrAnalitico/577345/18/9/01-04-2026/30-04-2026/8/0/5/0</v>
      </c>
      <c r="I25" s="8" t="str">
        <f t="shared" si="7"/>
        <v>{
"unidade": "577345",
 "audit": {
  "createdBy": "system",
  "createdDt": "2026-08-10T23:58:23.649Z"
 },
 "cpfCnpj": "42621655000127",
 "nome": "katia patricia rodrigues machado"
}</v>
      </c>
    </row>
    <row r="26" spans="1:9" s="8" customFormat="1" x14ac:dyDescent="0.25">
      <c r="A26" s="5">
        <v>602867</v>
      </c>
      <c r="B26" s="6" t="s">
        <v>79</v>
      </c>
      <c r="C26" s="5" t="s">
        <v>45</v>
      </c>
      <c r="D26" s="7" t="s">
        <v>8</v>
      </c>
      <c r="E26" s="7" t="s">
        <v>9</v>
      </c>
      <c r="F26" s="8" t="str">
        <f t="shared" si="4"/>
        <v>https://mtr.sinir.gov.br/api/mtr/pesquisaManifestoRelatorioMtrAnalitico/602867/18/8/01-04-2026/30-04-2026/5/0/9/0</v>
      </c>
      <c r="G26" s="8" t="str">
        <f t="shared" si="5"/>
        <v>https://mtr.sinir.gov.br/api/mtr/pesquisaManifestoRelatorioMtrAnalitico/602867/18/5/01-04-2026/30-04-2026/8/0/9/0</v>
      </c>
      <c r="H26" s="8" t="str">
        <f t="shared" si="6"/>
        <v>https://mtr.sinir.gov.br/api/mtr/pesquisaManifestoRelatorioMtrAnalitico/602867/18/9/01-04-2026/30-04-2026/8/0/5/0</v>
      </c>
      <c r="I26" s="8" t="str">
        <f t="shared" si="7"/>
        <v>{
"unidade": "602867",
 "audit": {
  "createdBy": "system",
  "createdDt": "2026-08-10T23:58:23.649Z"
 },
 "cpfCnpj": "02065713135",
 "nome": "matheus"
}</v>
      </c>
    </row>
    <row r="27" spans="1:9" s="8" customFormat="1" x14ac:dyDescent="0.25">
      <c r="A27" s="5">
        <v>606033</v>
      </c>
      <c r="B27" s="6" t="s">
        <v>80</v>
      </c>
      <c r="C27" s="5" t="s">
        <v>46</v>
      </c>
      <c r="D27" s="7" t="s">
        <v>8</v>
      </c>
      <c r="E27" s="7" t="s">
        <v>9</v>
      </c>
      <c r="F27" s="8" t="str">
        <f t="shared" si="4"/>
        <v>https://mtr.sinir.gov.br/api/mtr/pesquisaManifestoRelatorioMtrAnalitico/606033/18/8/01-04-2026/30-04-2026/5/0/9/0</v>
      </c>
      <c r="G27" s="8" t="str">
        <f t="shared" si="5"/>
        <v>https://mtr.sinir.gov.br/api/mtr/pesquisaManifestoRelatorioMtrAnalitico/606033/18/5/01-04-2026/30-04-2026/8/0/9/0</v>
      </c>
      <c r="H27" s="8" t="str">
        <f t="shared" si="6"/>
        <v>https://mtr.sinir.gov.br/api/mtr/pesquisaManifestoRelatorioMtrAnalitico/606033/18/9/01-04-2026/30-04-2026/8/0/5/0</v>
      </c>
      <c r="I27" s="8" t="str">
        <f t="shared" si="7"/>
        <v>{
"unidade": "606033",
 "audit": {
  "createdBy": "system",
  "createdDt": "2026-08-10T23:58:23.649Z"
 },
 "cpfCnpj": "64695860000170",
 "nome": "TESTE PRISCILA DESTINADOR"
}</v>
      </c>
    </row>
    <row r="28" spans="1:9" s="8" customFormat="1" x14ac:dyDescent="0.25">
      <c r="A28" s="5">
        <v>628657</v>
      </c>
      <c r="B28" s="6" t="s">
        <v>81</v>
      </c>
      <c r="C28" s="5" t="s">
        <v>47</v>
      </c>
      <c r="D28" s="7" t="s">
        <v>8</v>
      </c>
      <c r="E28" s="7" t="s">
        <v>9</v>
      </c>
      <c r="F28" s="8" t="str">
        <f t="shared" si="4"/>
        <v>https://mtr.sinir.gov.br/api/mtr/pesquisaManifestoRelatorioMtrAnalitico/628657/18/8/01-04-2026/30-04-2026/5/0/9/0</v>
      </c>
      <c r="G28" s="8" t="str">
        <f t="shared" si="5"/>
        <v>https://mtr.sinir.gov.br/api/mtr/pesquisaManifestoRelatorioMtrAnalitico/628657/18/5/01-04-2026/30-04-2026/8/0/9/0</v>
      </c>
      <c r="H28" s="8" t="str">
        <f t="shared" si="6"/>
        <v>https://mtr.sinir.gov.br/api/mtr/pesquisaManifestoRelatorioMtrAnalitico/628657/18/9/01-04-2026/30-04-2026/8/0/5/0</v>
      </c>
      <c r="I28" s="8" t="str">
        <f t="shared" si="7"/>
        <v>{
"unidade": "628657",
 "audit": {
  "createdBy": "system",
  "createdDt": "2026-08-10T23:58:23.649Z"
 },
 "cpfCnpj": "12096070000174",
 "nome": "CWBAGGIO INCORPORAÇÕES IMOBILIÁRIAS LTDA"
}</v>
      </c>
    </row>
    <row r="29" spans="1:9" s="8" customFormat="1" x14ac:dyDescent="0.25">
      <c r="A29" s="5">
        <v>629829</v>
      </c>
      <c r="B29" s="6" t="s">
        <v>82</v>
      </c>
      <c r="C29" s="5" t="s">
        <v>48</v>
      </c>
      <c r="D29" s="7" t="s">
        <v>8</v>
      </c>
      <c r="E29" s="7" t="s">
        <v>9</v>
      </c>
      <c r="F29" s="8" t="str">
        <f t="shared" si="4"/>
        <v>https://mtr.sinir.gov.br/api/mtr/pesquisaManifestoRelatorioMtrAnalitico/629829/18/8/01-04-2026/30-04-2026/5/0/9/0</v>
      </c>
      <c r="G29" s="8" t="str">
        <f t="shared" si="5"/>
        <v>https://mtr.sinir.gov.br/api/mtr/pesquisaManifestoRelatorioMtrAnalitico/629829/18/5/01-04-2026/30-04-2026/8/0/9/0</v>
      </c>
      <c r="H29" s="8" t="str">
        <f t="shared" si="6"/>
        <v>https://mtr.sinir.gov.br/api/mtr/pesquisaManifestoRelatorioMtrAnalitico/629829/18/9/01-04-2026/30-04-2026/8/0/5/0</v>
      </c>
      <c r="I29" s="8" t="str">
        <f t="shared" si="7"/>
        <v>{
"unidade": "629829",
 "audit": {
  "createdBy": "system",
  "createdDt": "2026-08-10T23:58:23.649Z"
 },
 "cpfCnpj": "63929109000128",
 "nome": "aurum recuperatum ltda"
}</v>
      </c>
    </row>
    <row r="30" spans="1:9" s="8" customFormat="1" x14ac:dyDescent="0.25">
      <c r="A30" s="5">
        <v>631866</v>
      </c>
      <c r="B30" s="6" t="s">
        <v>83</v>
      </c>
      <c r="C30" s="5" t="s">
        <v>49</v>
      </c>
      <c r="D30" s="7" t="s">
        <v>8</v>
      </c>
      <c r="E30" s="7" t="s">
        <v>9</v>
      </c>
      <c r="F30" s="8" t="str">
        <f t="shared" si="4"/>
        <v>https://mtr.sinir.gov.br/api/mtr/pesquisaManifestoRelatorioMtrAnalitico/631866/18/8/01-04-2026/30-04-2026/5/0/9/0</v>
      </c>
      <c r="G30" s="8" t="str">
        <f t="shared" si="5"/>
        <v>https://mtr.sinir.gov.br/api/mtr/pesquisaManifestoRelatorioMtrAnalitico/631866/18/5/01-04-2026/30-04-2026/8/0/9/0</v>
      </c>
      <c r="H30" s="8" t="str">
        <f t="shared" si="6"/>
        <v>https://mtr.sinir.gov.br/api/mtr/pesquisaManifestoRelatorioMtrAnalitico/631866/18/9/01-04-2026/30-04-2026/8/0/5/0</v>
      </c>
      <c r="I30" s="8" t="str">
        <f t="shared" si="7"/>
        <v>{
"unidade": "631866",
 "audit": {
  "createdBy": "system",
  "createdDt": "2026-08-10T23:58:23.649Z"
 },
 "cpfCnpj": "34352542000145",
 "nome": "LEUSADO DERIVADOS DE PETRÓLEO LTDA"
}</v>
      </c>
    </row>
    <row r="31" spans="1:9" s="8" customFormat="1" x14ac:dyDescent="0.25">
      <c r="A31" s="5">
        <v>632626</v>
      </c>
      <c r="B31" s="6" t="s">
        <v>84</v>
      </c>
      <c r="C31" s="5" t="s">
        <v>50</v>
      </c>
      <c r="D31" s="7" t="s">
        <v>8</v>
      </c>
      <c r="E31" s="7" t="s">
        <v>9</v>
      </c>
      <c r="F31" s="8" t="str">
        <f t="shared" si="4"/>
        <v>https://mtr.sinir.gov.br/api/mtr/pesquisaManifestoRelatorioMtrAnalitico/632626/18/8/01-04-2026/30-04-2026/5/0/9/0</v>
      </c>
      <c r="G31" s="8" t="str">
        <f t="shared" si="5"/>
        <v>https://mtr.sinir.gov.br/api/mtr/pesquisaManifestoRelatorioMtrAnalitico/632626/18/5/01-04-2026/30-04-2026/8/0/9/0</v>
      </c>
      <c r="H31" s="8" t="str">
        <f t="shared" si="6"/>
        <v>https://mtr.sinir.gov.br/api/mtr/pesquisaManifestoRelatorioMtrAnalitico/632626/18/9/01-04-2026/30-04-2026/8/0/5/0</v>
      </c>
      <c r="I31" s="8" t="str">
        <f t="shared" si="7"/>
        <v>{
"unidade": "632626",
 "audit": {
  "createdBy": "system",
  "createdDt": "2026-08-10T23:58:23.649Z"
 },
 "cpfCnpj": "82122177000125",
 "nome": "Heinig Comércio de Agregados e Transportes Ltda"
}</v>
      </c>
    </row>
    <row r="32" spans="1:9" s="8" customFormat="1" ht="30" x14ac:dyDescent="0.25">
      <c r="A32" s="5">
        <v>636715</v>
      </c>
      <c r="B32" s="6" t="s">
        <v>85</v>
      </c>
      <c r="C32" s="5" t="s">
        <v>51</v>
      </c>
      <c r="D32" s="7" t="s">
        <v>8</v>
      </c>
      <c r="E32" s="7" t="s">
        <v>9</v>
      </c>
      <c r="F32" s="8" t="str">
        <f t="shared" si="4"/>
        <v>https://mtr.sinir.gov.br/api/mtr/pesquisaManifestoRelatorioMtrAnalitico/636715/18/8/01-04-2026/30-04-2026/5/0/9/0</v>
      </c>
      <c r="G32" s="8" t="str">
        <f t="shared" si="5"/>
        <v>https://mtr.sinir.gov.br/api/mtr/pesquisaManifestoRelatorioMtrAnalitico/636715/18/5/01-04-2026/30-04-2026/8/0/9/0</v>
      </c>
      <c r="H32" s="8" t="str">
        <f t="shared" si="6"/>
        <v>https://mtr.sinir.gov.br/api/mtr/pesquisaManifestoRelatorioMtrAnalitico/636715/18/9/01-04-2026/30-04-2026/8/0/5/0</v>
      </c>
      <c r="I32" s="8" t="str">
        <f t="shared" si="7"/>
        <v>{
"unidade": "636715",
 "audit": {
  "createdBy": "system",
  "createdDt": "2026-08-10T23:58:23.649Z"
 },
 "cpfCnpj": "24792348000127",
 "nome": "EUROMAD INDUSTRIA E COMERCIO DE MADEIRAS E CONSTRUCOES LTDA"
}</v>
      </c>
    </row>
    <row r="33" spans="1:9" s="8" customFormat="1" ht="30" x14ac:dyDescent="0.25">
      <c r="A33" s="5">
        <v>636726</v>
      </c>
      <c r="B33" s="6" t="s">
        <v>86</v>
      </c>
      <c r="C33" s="5" t="s">
        <v>51</v>
      </c>
      <c r="D33" s="7" t="s">
        <v>8</v>
      </c>
      <c r="E33" s="7" t="s">
        <v>9</v>
      </c>
      <c r="F33" s="8" t="str">
        <f t="shared" si="4"/>
        <v>https://mtr.sinir.gov.br/api/mtr/pesquisaManifestoRelatorioMtrAnalitico/636726/18/8/01-04-2026/30-04-2026/5/0/9/0</v>
      </c>
      <c r="G33" s="8" t="str">
        <f t="shared" si="5"/>
        <v>https://mtr.sinir.gov.br/api/mtr/pesquisaManifestoRelatorioMtrAnalitico/636726/18/5/01-04-2026/30-04-2026/8/0/9/0</v>
      </c>
      <c r="H33" s="8" t="str">
        <f t="shared" si="6"/>
        <v>https://mtr.sinir.gov.br/api/mtr/pesquisaManifestoRelatorioMtrAnalitico/636726/18/9/01-04-2026/30-04-2026/8/0/5/0</v>
      </c>
      <c r="I33" s="8" t="str">
        <f t="shared" si="7"/>
        <v>{
"unidade": "636726",
 "audit": {
  "createdBy": "system",
  "createdDt": "2026-08-10T23:58:23.649Z"
 },
 "cpfCnpj": "24792348000208",
 "nome": "EUROMAD INDUSTRIA E COMERCIO DE MADEIRAS E CONSTRUCOES LTDA"
}</v>
      </c>
    </row>
    <row r="34" spans="1:9" s="8" customFormat="1" x14ac:dyDescent="0.25">
      <c r="A34" s="5">
        <v>637613</v>
      </c>
      <c r="B34" s="6" t="s">
        <v>87</v>
      </c>
      <c r="C34" s="5" t="s">
        <v>52</v>
      </c>
      <c r="D34" s="7" t="s">
        <v>8</v>
      </c>
      <c r="E34" s="7" t="s">
        <v>9</v>
      </c>
      <c r="F34" s="8" t="str">
        <f t="shared" si="4"/>
        <v>https://mtr.sinir.gov.br/api/mtr/pesquisaManifestoRelatorioMtrAnalitico/637613/18/8/01-04-2026/30-04-2026/5/0/9/0</v>
      </c>
      <c r="G34" s="8" t="str">
        <f t="shared" si="5"/>
        <v>https://mtr.sinir.gov.br/api/mtr/pesquisaManifestoRelatorioMtrAnalitico/637613/18/5/01-04-2026/30-04-2026/8/0/9/0</v>
      </c>
      <c r="H34" s="8" t="str">
        <f t="shared" si="6"/>
        <v>https://mtr.sinir.gov.br/api/mtr/pesquisaManifestoRelatorioMtrAnalitico/637613/18/9/01-04-2026/30-04-2026/8/0/5/0</v>
      </c>
      <c r="I34" s="8" t="str">
        <f t="shared" si="7"/>
        <v>{
"unidade": "637613",
 "audit": {
  "createdBy": "system",
  "createdDt": "2026-08-10T23:58:23.649Z"
 },
 "cpfCnpj": "38028199000139",
 "nome": "JFC Produtos Agrícolas LTDA"
}</v>
      </c>
    </row>
    <row r="35" spans="1:9" s="8" customFormat="1" x14ac:dyDescent="0.25">
      <c r="A35" s="5">
        <v>638428</v>
      </c>
      <c r="B35" s="6" t="s">
        <v>88</v>
      </c>
      <c r="C35" s="5" t="s">
        <v>53</v>
      </c>
      <c r="D35" s="7" t="s">
        <v>8</v>
      </c>
      <c r="E35" s="7" t="s">
        <v>9</v>
      </c>
      <c r="F35" s="8" t="str">
        <f t="shared" si="4"/>
        <v>https://mtr.sinir.gov.br/api/mtr/pesquisaManifestoRelatorioMtrAnalitico/638428/18/8/01-04-2026/30-04-2026/5/0/9/0</v>
      </c>
      <c r="G35" s="8" t="str">
        <f t="shared" si="5"/>
        <v>https://mtr.sinir.gov.br/api/mtr/pesquisaManifestoRelatorioMtrAnalitico/638428/18/5/01-04-2026/30-04-2026/8/0/9/0</v>
      </c>
      <c r="H35" s="8" t="str">
        <f t="shared" si="6"/>
        <v>https://mtr.sinir.gov.br/api/mtr/pesquisaManifestoRelatorioMtrAnalitico/638428/18/9/01-04-2026/30-04-2026/8/0/5/0</v>
      </c>
      <c r="I35" s="8" t="str">
        <f t="shared" si="7"/>
        <v>{
"unidade": "638428",
 "audit": {
  "createdBy": "system",
  "createdDt": "2026-08-10T23:58:23.649Z"
 },
 "cpfCnpj": "22357989000128",
 "nome": "NEW COAL PRODUÇÃO DE CARVÃO VEGETAL LDTA"
}</v>
      </c>
    </row>
    <row r="36" spans="1:9" s="8" customFormat="1" ht="30" x14ac:dyDescent="0.25">
      <c r="A36" s="5">
        <v>638869</v>
      </c>
      <c r="B36" s="6" t="s">
        <v>89</v>
      </c>
      <c r="C36" s="5" t="s">
        <v>54</v>
      </c>
      <c r="D36" s="7" t="s">
        <v>8</v>
      </c>
      <c r="E36" s="7" t="s">
        <v>9</v>
      </c>
      <c r="F36" s="8" t="str">
        <f t="shared" si="4"/>
        <v>https://mtr.sinir.gov.br/api/mtr/pesquisaManifestoRelatorioMtrAnalitico/638869/18/8/01-04-2026/30-04-2026/5/0/9/0</v>
      </c>
      <c r="G36" s="8" t="str">
        <f t="shared" si="5"/>
        <v>https://mtr.sinir.gov.br/api/mtr/pesquisaManifestoRelatorioMtrAnalitico/638869/18/5/01-04-2026/30-04-2026/8/0/9/0</v>
      </c>
      <c r="H36" s="8" t="str">
        <f t="shared" si="6"/>
        <v>https://mtr.sinir.gov.br/api/mtr/pesquisaManifestoRelatorioMtrAnalitico/638869/18/9/01-04-2026/30-04-2026/8/0/5/0</v>
      </c>
      <c r="I36" s="8" t="str">
        <f t="shared" si="7"/>
        <v>{
"unidade": "638869",
 "audit": {
  "createdBy": "system",
  "createdDt": "2026-08-10T23:58:23.649Z"
 },
 "cpfCnpj": "59568774000166",
 "nome": "QUIRAVELLI IND. E COM. DE PRODUTOS QUIMICOS LTDA EPP"
}</v>
      </c>
    </row>
    <row r="37" spans="1:9" s="8" customFormat="1" ht="30" x14ac:dyDescent="0.25">
      <c r="A37" s="5">
        <v>638961</v>
      </c>
      <c r="B37" s="6" t="s">
        <v>90</v>
      </c>
      <c r="C37" s="5" t="s">
        <v>55</v>
      </c>
      <c r="D37" s="7" t="s">
        <v>8</v>
      </c>
      <c r="E37" s="7" t="s">
        <v>9</v>
      </c>
      <c r="F37" s="8" t="str">
        <f t="shared" si="4"/>
        <v>https://mtr.sinir.gov.br/api/mtr/pesquisaManifestoRelatorioMtrAnalitico/638961/18/8/01-04-2026/30-04-2026/5/0/9/0</v>
      </c>
      <c r="G37" s="8" t="str">
        <f t="shared" si="5"/>
        <v>https://mtr.sinir.gov.br/api/mtr/pesquisaManifestoRelatorioMtrAnalitico/638961/18/5/01-04-2026/30-04-2026/8/0/9/0</v>
      </c>
      <c r="H37" s="8" t="str">
        <f t="shared" si="6"/>
        <v>https://mtr.sinir.gov.br/api/mtr/pesquisaManifestoRelatorioMtrAnalitico/638961/18/9/01-04-2026/30-04-2026/8/0/5/0</v>
      </c>
      <c r="I37" s="8" t="str">
        <f t="shared" si="7"/>
        <v>{
"unidade": "638961",
 "audit": {
  "createdBy": "system",
  "createdDt": "2026-08-10T23:58:23.649Z"
 },
 "cpfCnpj": "59568774000328",
 "nome": "QUIRAVELLI IND. E COM. DE PRODUTOS QUIMICOS LTDA"
}</v>
      </c>
    </row>
    <row r="38" spans="1:9" s="8" customFormat="1" x14ac:dyDescent="0.25">
      <c r="A38" s="5">
        <v>639075</v>
      </c>
      <c r="B38" s="6" t="s">
        <v>91</v>
      </c>
      <c r="C38" s="5" t="s">
        <v>56</v>
      </c>
      <c r="D38" s="7" t="s">
        <v>8</v>
      </c>
      <c r="E38" s="7" t="s">
        <v>9</v>
      </c>
      <c r="F38" s="8" t="str">
        <f t="shared" si="4"/>
        <v>https://mtr.sinir.gov.br/api/mtr/pesquisaManifestoRelatorioMtrAnalitico/639075/18/8/01-04-2026/30-04-2026/5/0/9/0</v>
      </c>
      <c r="G38" s="8" t="str">
        <f t="shared" si="5"/>
        <v>https://mtr.sinir.gov.br/api/mtr/pesquisaManifestoRelatorioMtrAnalitico/639075/18/5/01-04-2026/30-04-2026/8/0/9/0</v>
      </c>
      <c r="H38" s="8" t="str">
        <f t="shared" si="6"/>
        <v>https://mtr.sinir.gov.br/api/mtr/pesquisaManifestoRelatorioMtrAnalitico/639075/18/9/01-04-2026/30-04-2026/8/0/5/0</v>
      </c>
      <c r="I38" s="8" t="str">
        <f t="shared" si="7"/>
        <v>{
"unidade": "639075",
 "audit": {
  "createdBy": "system",
  "createdDt": "2026-08-10T23:58:23.649Z"
 },
 "cpfCnpj": "33940359000106",
 "nome": "COQUEIRAL AMBIENTAL INDUSTRIA E COMERCIO"
}</v>
      </c>
    </row>
    <row r="39" spans="1:9" s="8" customFormat="1" ht="30" x14ac:dyDescent="0.25">
      <c r="A39" s="5">
        <v>641087</v>
      </c>
      <c r="B39" s="6" t="s">
        <v>92</v>
      </c>
      <c r="C39" s="5" t="s">
        <v>57</v>
      </c>
      <c r="D39" s="7" t="s">
        <v>8</v>
      </c>
      <c r="E39" s="7" t="s">
        <v>9</v>
      </c>
      <c r="F39" s="8" t="str">
        <f t="shared" si="4"/>
        <v>https://mtr.sinir.gov.br/api/mtr/pesquisaManifestoRelatorioMtrAnalitico/641087/18/8/01-04-2026/30-04-2026/5/0/9/0</v>
      </c>
      <c r="G39" s="8" t="str">
        <f t="shared" si="5"/>
        <v>https://mtr.sinir.gov.br/api/mtr/pesquisaManifestoRelatorioMtrAnalitico/641087/18/5/01-04-2026/30-04-2026/8/0/9/0</v>
      </c>
      <c r="H39" s="8" t="str">
        <f t="shared" si="6"/>
        <v>https://mtr.sinir.gov.br/api/mtr/pesquisaManifestoRelatorioMtrAnalitico/641087/18/9/01-04-2026/30-04-2026/8/0/5/0</v>
      </c>
      <c r="I39" s="8" t="str">
        <f t="shared" si="7"/>
        <v>{
"unidade": "641087",
 "audit": {
  "createdBy": "system",
  "createdDt": "2026-08-10T23:58:23.649Z"
 },
 "cpfCnpj": "00394502051725",
 "nome": "65549 - NAVIO DE PESQUISA HIDROCEANOGRÁFICO VITAL DE OLIVEIRA"
}</v>
      </c>
    </row>
    <row r="40" spans="1:9" s="8" customFormat="1" x14ac:dyDescent="0.25">
      <c r="A40" s="5">
        <v>642261</v>
      </c>
      <c r="B40" s="6" t="s">
        <v>93</v>
      </c>
      <c r="C40" s="5" t="s">
        <v>58</v>
      </c>
      <c r="D40" s="7" t="s">
        <v>8</v>
      </c>
      <c r="E40" s="7" t="s">
        <v>9</v>
      </c>
      <c r="F40" s="8" t="str">
        <f t="shared" si="4"/>
        <v>https://mtr.sinir.gov.br/api/mtr/pesquisaManifestoRelatorioMtrAnalitico/642261/18/8/01-04-2026/30-04-2026/5/0/9/0</v>
      </c>
      <c r="G40" s="8" t="str">
        <f t="shared" si="5"/>
        <v>https://mtr.sinir.gov.br/api/mtr/pesquisaManifestoRelatorioMtrAnalitico/642261/18/5/01-04-2026/30-04-2026/8/0/9/0</v>
      </c>
      <c r="H40" s="8" t="str">
        <f t="shared" si="6"/>
        <v>https://mtr.sinir.gov.br/api/mtr/pesquisaManifestoRelatorioMtrAnalitico/642261/18/9/01-04-2026/30-04-2026/8/0/5/0</v>
      </c>
      <c r="I40" s="8" t="str">
        <f t="shared" si="7"/>
        <v>{
"unidade": "642261",
 "audit": {
  "createdBy": "system",
  "createdDt": "2026-08-10T23:58:23.649Z"
 },
 "cpfCnpj": "08242838000101",
 "nome": "NOVA ERA IND COM EXPORTAÇÃO DE MADEIRAS LTDA"
}</v>
      </c>
    </row>
    <row r="41" spans="1:9" s="8" customFormat="1" x14ac:dyDescent="0.25">
      <c r="A41" s="5">
        <v>642759</v>
      </c>
      <c r="B41" s="6" t="s">
        <v>94</v>
      </c>
      <c r="C41" s="5" t="s">
        <v>59</v>
      </c>
      <c r="D41" s="7" t="s">
        <v>8</v>
      </c>
      <c r="E41" s="7" t="s">
        <v>9</v>
      </c>
      <c r="F41" s="8" t="str">
        <f t="shared" si="4"/>
        <v>https://mtr.sinir.gov.br/api/mtr/pesquisaManifestoRelatorioMtrAnalitico/642759/18/8/01-04-2026/30-04-2026/5/0/9/0</v>
      </c>
      <c r="G41" s="8" t="str">
        <f t="shared" si="5"/>
        <v>https://mtr.sinir.gov.br/api/mtr/pesquisaManifestoRelatorioMtrAnalitico/642759/18/5/01-04-2026/30-04-2026/8/0/9/0</v>
      </c>
      <c r="H41" s="8" t="str">
        <f t="shared" si="6"/>
        <v>https://mtr.sinir.gov.br/api/mtr/pesquisaManifestoRelatorioMtrAnalitico/642759/18/9/01-04-2026/30-04-2026/8/0/5/0</v>
      </c>
      <c r="I41" s="8" t="str">
        <f t="shared" si="7"/>
        <v>{
"unidade": "642759",
 "audit": {
  "createdBy": "system",
  "createdDt": "2026-08-10T23:58:23.649Z"
 },
 "cpfCnpj": "55388960000162",
 "nome": "CRETA INDUSTRIA E COMERCIO LTDA"
}</v>
      </c>
    </row>
    <row r="42" spans="1:9" s="8" customFormat="1" x14ac:dyDescent="0.25">
      <c r="A42" s="5">
        <v>642768</v>
      </c>
      <c r="B42" s="6" t="s">
        <v>95</v>
      </c>
      <c r="C42" s="5" t="s">
        <v>60</v>
      </c>
      <c r="D42" s="7" t="s">
        <v>8</v>
      </c>
      <c r="E42" s="7" t="s">
        <v>9</v>
      </c>
      <c r="F42" s="8" t="str">
        <f t="shared" si="4"/>
        <v>https://mtr.sinir.gov.br/api/mtr/pesquisaManifestoRelatorioMtrAnalitico/642768/18/8/01-04-2026/30-04-2026/5/0/9/0</v>
      </c>
      <c r="G42" s="8" t="str">
        <f t="shared" si="5"/>
        <v>https://mtr.sinir.gov.br/api/mtr/pesquisaManifestoRelatorioMtrAnalitico/642768/18/5/01-04-2026/30-04-2026/8/0/9/0</v>
      </c>
      <c r="H42" s="8" t="str">
        <f t="shared" si="6"/>
        <v>https://mtr.sinir.gov.br/api/mtr/pesquisaManifestoRelatorioMtrAnalitico/642768/18/9/01-04-2026/30-04-2026/8/0/5/0</v>
      </c>
      <c r="I42" s="8" t="str">
        <f t="shared" si="7"/>
        <v>{
"unidade": "642768",
 "audit": {
  "createdBy": "system",
  "createdDt": "2026-08-10T23:58:23.649Z"
 },
 "cpfCnpj": "55387508000186",
 "nome": "APEX BRASIL INDUSTRIA E COMERCIO LTDA"
}</v>
      </c>
    </row>
    <row r="43" spans="1:9" s="8" customFormat="1" x14ac:dyDescent="0.25">
      <c r="A43" s="5">
        <v>642896</v>
      </c>
      <c r="B43" s="6" t="s">
        <v>96</v>
      </c>
      <c r="C43" s="5" t="s">
        <v>61</v>
      </c>
      <c r="D43" s="7" t="s">
        <v>8</v>
      </c>
      <c r="E43" s="7" t="s">
        <v>9</v>
      </c>
      <c r="F43" s="8" t="str">
        <f t="shared" si="4"/>
        <v>https://mtr.sinir.gov.br/api/mtr/pesquisaManifestoRelatorioMtrAnalitico/642896/18/8/01-04-2026/30-04-2026/5/0/9/0</v>
      </c>
      <c r="G43" s="8" t="str">
        <f t="shared" si="5"/>
        <v>https://mtr.sinir.gov.br/api/mtr/pesquisaManifestoRelatorioMtrAnalitico/642896/18/5/01-04-2026/30-04-2026/8/0/9/0</v>
      </c>
      <c r="H43" s="8" t="str">
        <f t="shared" si="6"/>
        <v>https://mtr.sinir.gov.br/api/mtr/pesquisaManifestoRelatorioMtrAnalitico/642896/18/9/01-04-2026/30-04-2026/8/0/5/0</v>
      </c>
      <c r="I43" s="8" t="str">
        <f t="shared" si="7"/>
        <v>{
"unidade": "642896",
 "audit": {
  "createdBy": "system",
  "createdDt": "2026-08-10T23:58:23.649Z"
 },
 "cpfCnpj": "32184634000138",
 "nome": "KOPER AMBIENTAL GESTAO DE RESIDUOS LTDA"
}</v>
      </c>
    </row>
    <row r="44" spans="1:9" s="8" customFormat="1" x14ac:dyDescent="0.25">
      <c r="A44" s="5">
        <v>643408</v>
      </c>
      <c r="B44" s="6" t="s">
        <v>97</v>
      </c>
      <c r="C44" s="5" t="s">
        <v>62</v>
      </c>
      <c r="D44" s="7" t="s">
        <v>8</v>
      </c>
      <c r="E44" s="7" t="s">
        <v>9</v>
      </c>
      <c r="F44" s="8" t="str">
        <f t="shared" si="4"/>
        <v>https://mtr.sinir.gov.br/api/mtr/pesquisaManifestoRelatorioMtrAnalitico/643408/18/8/01-04-2026/30-04-2026/5/0/9/0</v>
      </c>
      <c r="G44" s="8" t="str">
        <f t="shared" si="5"/>
        <v>https://mtr.sinir.gov.br/api/mtr/pesquisaManifestoRelatorioMtrAnalitico/643408/18/5/01-04-2026/30-04-2026/8/0/9/0</v>
      </c>
      <c r="H44" s="8" t="str">
        <f t="shared" si="6"/>
        <v>https://mtr.sinir.gov.br/api/mtr/pesquisaManifestoRelatorioMtrAnalitico/643408/18/9/01-04-2026/30-04-2026/8/0/5/0</v>
      </c>
      <c r="I44" s="8" t="str">
        <f t="shared" si="7"/>
        <v>{
"unidade": "643408",
 "audit": {
  "createdBy": "system",
  "createdDt": "2026-08-10T23:58:23.649Z"
 },
 "cpfCnpj": "36202242000105",
 "nome": "R.P DOS SANTOS RECICLAGEM"
}</v>
      </c>
    </row>
    <row r="45" spans="1:9" s="8" customFormat="1" x14ac:dyDescent="0.25">
      <c r="A45" s="5">
        <v>644019</v>
      </c>
      <c r="B45" s="6" t="s">
        <v>98</v>
      </c>
      <c r="C45" s="5" t="s">
        <v>63</v>
      </c>
      <c r="D45" s="7" t="s">
        <v>8</v>
      </c>
      <c r="E45" s="7" t="s">
        <v>9</v>
      </c>
      <c r="F45" s="8" t="str">
        <f t="shared" si="4"/>
        <v>https://mtr.sinir.gov.br/api/mtr/pesquisaManifestoRelatorioMtrAnalitico/644019/18/8/01-04-2026/30-04-2026/5/0/9/0</v>
      </c>
      <c r="G45" s="8" t="str">
        <f t="shared" si="5"/>
        <v>https://mtr.sinir.gov.br/api/mtr/pesquisaManifestoRelatorioMtrAnalitico/644019/18/5/01-04-2026/30-04-2026/8/0/9/0</v>
      </c>
      <c r="H45" s="8" t="str">
        <f t="shared" si="6"/>
        <v>https://mtr.sinir.gov.br/api/mtr/pesquisaManifestoRelatorioMtrAnalitico/644019/18/9/01-04-2026/30-04-2026/8/0/5/0</v>
      </c>
      <c r="I45" s="8" t="str">
        <f t="shared" si="7"/>
        <v>{
"unidade": "644019",
 "audit": {
  "createdBy": "system",
  "createdDt": "2026-08-10T23:58:23.649Z"
 },
 "cpfCnpj": "06179402000181",
 "nome": "MUNICIPIO DE PENALVA"
}</v>
      </c>
    </row>
    <row r="46" spans="1:9" s="8" customFormat="1" x14ac:dyDescent="0.25">
      <c r="A46" s="5">
        <v>644502</v>
      </c>
      <c r="B46" s="6" t="s">
        <v>99</v>
      </c>
      <c r="C46" s="5" t="s">
        <v>64</v>
      </c>
      <c r="D46" s="7" t="s">
        <v>8</v>
      </c>
      <c r="E46" s="7" t="s">
        <v>9</v>
      </c>
      <c r="F46" s="8" t="str">
        <f t="shared" si="4"/>
        <v>https://mtr.sinir.gov.br/api/mtr/pesquisaManifestoRelatorioMtrAnalitico/644502/18/8/01-04-2026/30-04-2026/5/0/9/0</v>
      </c>
      <c r="G46" s="8" t="str">
        <f t="shared" si="5"/>
        <v>https://mtr.sinir.gov.br/api/mtr/pesquisaManifestoRelatorioMtrAnalitico/644502/18/5/01-04-2026/30-04-2026/8/0/9/0</v>
      </c>
      <c r="H46" s="8" t="str">
        <f t="shared" si="6"/>
        <v>https://mtr.sinir.gov.br/api/mtr/pesquisaManifestoRelatorioMtrAnalitico/644502/18/9/01-04-2026/30-04-2026/8/0/5/0</v>
      </c>
      <c r="I46" s="8" t="str">
        <f t="shared" si="7"/>
        <v>{
"unidade": "644502",
 "audit": {
  "createdBy": "system",
  "createdDt": "2026-08-10T23:58:23.649Z"
 },
 "cpfCnpj": "44521195000190",
 "nome": "44.521.195 FERNANDO ALVES GOMES"
}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Iwerson Souza</dc:creator>
  <cp:lastModifiedBy>Iwerson Souza</cp:lastModifiedBy>
  <dcterms:created xsi:type="dcterms:W3CDTF">2026-08-11T02:03:54Z</dcterms:created>
  <dcterms:modified xsi:type="dcterms:W3CDTF">2026-08-12T01:06:01Z</dcterms:modified>
</cp:coreProperties>
</file>